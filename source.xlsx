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2" documentId="8_{CE41A576-A9B4-4711-90AE-A1E610CD6743}" xr6:coauthVersionLast="47" xr6:coauthVersionMax="47" xr10:uidLastSave="{ED8C8E9F-B51D-4298-B704-BAF791D348F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H22" i="1"/>
  <c r="H24" i="1" s="1"/>
  <c r="C22" i="1"/>
  <c r="C24" i="1" s="1"/>
  <c r="H19" i="1"/>
  <c r="J18" i="1"/>
  <c r="J17" i="1"/>
  <c r="J19" i="1" s="1"/>
  <c r="H13" i="1"/>
  <c r="J12" i="1"/>
  <c r="J11" i="1"/>
  <c r="J10" i="1"/>
  <c r="J9" i="1"/>
  <c r="J8" i="1"/>
  <c r="J7" i="1"/>
  <c r="J6" i="1"/>
  <c r="J5" i="1"/>
  <c r="J4" i="1"/>
  <c r="E11" i="1"/>
  <c r="C19" i="1"/>
  <c r="C13" i="1"/>
  <c r="E18" i="1"/>
  <c r="E17" i="1"/>
  <c r="E5" i="1"/>
  <c r="E6" i="1"/>
  <c r="E7" i="1"/>
  <c r="E8" i="1"/>
  <c r="E9" i="1"/>
  <c r="E10" i="1"/>
  <c r="E12" i="1"/>
  <c r="E4" i="1"/>
  <c r="E19" i="1" l="1"/>
  <c r="J13" i="1"/>
  <c r="I22" i="1" s="1"/>
  <c r="I25" i="1" s="1"/>
  <c r="E13" i="1"/>
  <c r="D22" i="1" s="1"/>
  <c r="D25" i="1" s="1"/>
</calcChain>
</file>

<file path=xl/sharedStrings.xml><?xml version="1.0" encoding="utf-8"?>
<sst xmlns="http://schemas.openxmlformats.org/spreadsheetml/2006/main" count="57" uniqueCount="28">
  <si>
    <t>QUALITY</t>
  </si>
  <si>
    <t>QTY</t>
  </si>
  <si>
    <t>RATE</t>
  </si>
  <si>
    <t>CAUSTIC SODA</t>
  </si>
  <si>
    <t>NBA</t>
  </si>
  <si>
    <t>ACITIC ACIDE</t>
  </si>
  <si>
    <t>PARAFORMATE</t>
  </si>
  <si>
    <t>URIYA</t>
  </si>
  <si>
    <t>MIX XYLENE</t>
  </si>
  <si>
    <t>MELAMINE</t>
  </si>
  <si>
    <t>PAINT PASS</t>
  </si>
  <si>
    <t>PART A</t>
  </si>
  <si>
    <t>WATER</t>
  </si>
  <si>
    <t>BISPHINOL A</t>
  </si>
  <si>
    <t>TOLLUNE</t>
  </si>
  <si>
    <t>ECH</t>
  </si>
  <si>
    <t>PART A RECOVER</t>
  </si>
  <si>
    <t>AMOUNT</t>
  </si>
  <si>
    <t>TOTAL</t>
  </si>
  <si>
    <t>OPA</t>
  </si>
  <si>
    <t>PART B</t>
  </si>
  <si>
    <t>PATHELIC</t>
  </si>
  <si>
    <t>PART B RECOVER</t>
  </si>
  <si>
    <t>REAL OUT PUT</t>
  </si>
  <si>
    <t>OUT PUT</t>
  </si>
  <si>
    <t>LOSS</t>
  </si>
  <si>
    <t>QTY.</t>
  </si>
  <si>
    <t>NET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</si>
</sst>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1" fillId="2" borderId="8" xfId="0" applyFont="1" applyFill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2" fillId="0" borderId="7" xfId="0" applyFont="1" applyBorder="1"/>
    <xf numFmtId="0" fontId="0" fillId="0" borderId="10" xfId="0" applyBorder="1"/>
    <xf numFmtId="0" fontId="0" fillId="0" borderId="11" xfId="0" applyBorder="1"/>
    <xf numFmtId="0" fontId="2" fillId="0" borderId="2" xfId="0" applyFont="1" applyBorder="1"/>
    <xf numFmtId="0" fontId="2" fillId="0" borderId="5" xfId="0" applyFont="1" applyBorder="1"/>
    <xf numFmtId="1" fontId="0" fillId="0" borderId="0" xfId="0" applyNumberFormat="1"/>
    <xf numFmtId="1" fontId="2" fillId="3" borderId="4" xfId="0" applyNumberFormat="1" applyFont="1" applyFill="1" applyBorder="1" applyAlignment="1">
      <alignment horizontal="center"/>
    </xf>
    <xf numFmtId="1" fontId="2" fillId="3" borderId="14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5"/>
  <sheetViews>
    <sheetView tabSelected="1" topLeftCell="A7" zoomScaleNormal="100" workbookViewId="0">
      <selection activeCell="G30" sqref="G30"/>
    </sheetView>
  </sheetViews>
  <sheetFormatPr defaultRowHeight="14.4" x14ac:dyDescent="0.3"/>
  <cols>
    <col min="2" max="2" width="30.109375" customWidth="1"/>
    <col min="3" max="3" width="14.5546875" customWidth="1"/>
    <col min="4" max="4" width="15.109375" customWidth="1"/>
    <col min="5" max="5" width="11.109375" bestFit="1" customWidth="1"/>
    <col min="7" max="7" width="27.5546875" customWidth="1"/>
    <col min="8" max="8" width="14.6640625" customWidth="1"/>
    <col min="9" max="9" width="13.6640625" customWidth="1"/>
    <col min="10" max="11" width="12.88671875" customWidth="1"/>
  </cols>
  <sheetData>
    <row r="1" spans="2:10" ht="15" thickBot="1" x14ac:dyDescent="0.35"/>
    <row r="2" spans="2:10" ht="18.600000000000001" thickBot="1" x14ac:dyDescent="0.35">
      <c r="B2" s="17" t="s">
        <v>11</v>
      </c>
      <c r="C2" s="18"/>
      <c r="D2" s="18"/>
      <c r="E2" s="19"/>
      <c r="G2" s="17" t="s">
        <v>20</v>
      </c>
      <c r="H2" s="18"/>
      <c r="I2" s="18"/>
      <c r="J2" s="19"/>
    </row>
    <row r="3" spans="2:10" ht="18.600000000000001" thickBot="1" x14ac:dyDescent="0.35">
      <c r="B3" s="1" t="s">
        <v>0</v>
      </c>
      <c r="C3" s="1" t="s">
        <v>1</v>
      </c>
      <c r="D3" s="1" t="s">
        <v>2</v>
      </c>
      <c r="E3" s="1" t="s">
        <v>17</v>
      </c>
      <c r="G3" s="1" t="s">
        <v>0</v>
      </c>
      <c r="H3" s="1" t="s">
        <v>1</v>
      </c>
      <c r="I3" s="1" t="s">
        <v>2</v>
      </c>
      <c r="J3" s="1" t="s">
        <v>17</v>
      </c>
    </row>
    <row r="4" spans="2:10" x14ac:dyDescent="0.3">
      <c r="B4" s="3" t="s">
        <v>12</v>
      </c>
      <c r="C4" s="3">
        <v>1000</v>
      </c>
      <c r="D4" s="3"/>
      <c r="E4" s="3">
        <f>C4*D4</f>
        <v>0</v>
      </c>
      <c r="G4" s="3" t="s">
        <v>4</v>
      </c>
      <c r="H4" s="3">
        <v>1000</v>
      </c>
      <c r="I4" s="3">
        <v>150</v>
      </c>
      <c r="J4" s="3">
        <f>H4*I4</f>
        <v>150000</v>
      </c>
    </row>
    <row r="5" spans="2:10" x14ac:dyDescent="0.3">
      <c r="B5" s="2" t="s">
        <v>3</v>
      </c>
      <c r="C5" s="2">
        <v>150</v>
      </c>
      <c r="D5" s="2">
        <v>53</v>
      </c>
      <c r="E5" s="2">
        <f t="shared" ref="E5:E12" si="0">C5*D5</f>
        <v>7950</v>
      </c>
      <c r="G5" s="2" t="s">
        <v>6</v>
      </c>
      <c r="H5" s="2">
        <v>400</v>
      </c>
      <c r="I5" s="2">
        <v>110</v>
      </c>
      <c r="J5" s="2">
        <f t="shared" ref="J5:J12" si="1">H5*I5</f>
        <v>44000</v>
      </c>
    </row>
    <row r="6" spans="2:10" x14ac:dyDescent="0.3">
      <c r="B6" s="2" t="s">
        <v>13</v>
      </c>
      <c r="C6" s="2">
        <v>600</v>
      </c>
      <c r="D6" s="2">
        <v>160</v>
      </c>
      <c r="E6" s="2">
        <f t="shared" si="0"/>
        <v>96000</v>
      </c>
      <c r="G6" s="2" t="s">
        <v>9</v>
      </c>
      <c r="H6" s="2">
        <v>230</v>
      </c>
      <c r="I6" s="2">
        <v>200</v>
      </c>
      <c r="J6" s="2">
        <f t="shared" si="1"/>
        <v>46000</v>
      </c>
    </row>
    <row r="7" spans="2:10" x14ac:dyDescent="0.3">
      <c r="B7" s="2" t="s">
        <v>14</v>
      </c>
      <c r="C7" s="2">
        <v>520</v>
      </c>
      <c r="D7" s="2">
        <v>108</v>
      </c>
      <c r="E7" s="2">
        <f t="shared" si="0"/>
        <v>56160</v>
      </c>
      <c r="G7" s="2" t="s">
        <v>7</v>
      </c>
      <c r="H7" s="2">
        <v>120</v>
      </c>
      <c r="I7" s="2">
        <v>65</v>
      </c>
      <c r="J7" s="2">
        <f t="shared" si="1"/>
        <v>7800</v>
      </c>
    </row>
    <row r="8" spans="2:10" x14ac:dyDescent="0.3">
      <c r="B8" s="2" t="s">
        <v>15</v>
      </c>
      <c r="C8" s="2">
        <v>360</v>
      </c>
      <c r="D8" s="2">
        <v>195</v>
      </c>
      <c r="E8" s="2">
        <f t="shared" si="0"/>
        <v>70200</v>
      </c>
      <c r="G8" s="2" t="s">
        <v>5</v>
      </c>
      <c r="H8" s="2">
        <v>2</v>
      </c>
      <c r="I8" s="2">
        <v>75</v>
      </c>
      <c r="J8" s="2">
        <f t="shared" si="1"/>
        <v>150</v>
      </c>
    </row>
    <row r="9" spans="2:10" x14ac:dyDescent="0.3">
      <c r="B9" s="2" t="s">
        <v>5</v>
      </c>
      <c r="C9" s="2">
        <v>15</v>
      </c>
      <c r="D9" s="2">
        <v>75</v>
      </c>
      <c r="E9" s="2">
        <f t="shared" si="0"/>
        <v>1125</v>
      </c>
      <c r="G9" s="2" t="s">
        <v>3</v>
      </c>
      <c r="H9" s="2">
        <v>1</v>
      </c>
      <c r="I9" s="2">
        <v>53</v>
      </c>
      <c r="J9" s="2">
        <f t="shared" si="1"/>
        <v>53</v>
      </c>
    </row>
    <row r="10" spans="2:10" x14ac:dyDescent="0.3">
      <c r="B10" s="2" t="s">
        <v>10</v>
      </c>
      <c r="C10" s="2">
        <v>500</v>
      </c>
      <c r="D10" s="2">
        <v>62</v>
      </c>
      <c r="E10" s="2">
        <f t="shared" si="0"/>
        <v>31000</v>
      </c>
      <c r="G10" s="2" t="s">
        <v>21</v>
      </c>
      <c r="H10" s="2">
        <v>1.5</v>
      </c>
      <c r="I10" s="2">
        <v>185</v>
      </c>
      <c r="J10" s="2">
        <f t="shared" si="1"/>
        <v>277.5</v>
      </c>
    </row>
    <row r="11" spans="2:10" x14ac:dyDescent="0.3">
      <c r="B11" s="6" t="s">
        <v>19</v>
      </c>
      <c r="C11" s="6">
        <v>22.5</v>
      </c>
      <c r="D11" s="6">
        <v>180</v>
      </c>
      <c r="E11" s="6">
        <f t="shared" si="0"/>
        <v>4050</v>
      </c>
      <c r="G11" s="6" t="s">
        <v>8</v>
      </c>
      <c r="H11" s="6">
        <v>44</v>
      </c>
      <c r="I11" s="6">
        <v>108</v>
      </c>
      <c r="J11" s="6">
        <f t="shared" si="1"/>
        <v>4752</v>
      </c>
    </row>
    <row r="12" spans="2:10" ht="15" thickBot="1" x14ac:dyDescent="0.35">
      <c r="B12" s="6" t="s">
        <v>4</v>
      </c>
      <c r="C12" s="6">
        <v>66</v>
      </c>
      <c r="D12" s="6">
        <v>150</v>
      </c>
      <c r="E12" s="6">
        <f t="shared" si="0"/>
        <v>9900</v>
      </c>
      <c r="G12" s="6" t="s">
        <v>10</v>
      </c>
      <c r="H12" s="6">
        <v>407</v>
      </c>
      <c r="I12" s="6">
        <v>62</v>
      </c>
      <c r="J12" s="6">
        <f t="shared" si="1"/>
        <v>25234</v>
      </c>
    </row>
    <row r="13" spans="2:10" ht="15" thickBot="1" x14ac:dyDescent="0.35">
      <c r="B13" s="11" t="s">
        <v>18</v>
      </c>
      <c r="C13" s="10">
        <f>SUM(C4:C12)</f>
        <v>3233.5</v>
      </c>
      <c r="D13" s="5"/>
      <c r="E13" s="7">
        <f>SUM(E4:E12)</f>
        <v>276385</v>
      </c>
      <c r="G13" s="11" t="s">
        <v>18</v>
      </c>
      <c r="H13" s="10">
        <f>SUM(H4:H12)</f>
        <v>2205.5</v>
      </c>
      <c r="I13" s="5"/>
      <c r="J13" s="7">
        <f>SUM(J4:J12)</f>
        <v>278266.5</v>
      </c>
    </row>
    <row r="14" spans="2:10" ht="15" thickBot="1" x14ac:dyDescent="0.35"/>
    <row r="15" spans="2:10" ht="18.600000000000001" thickBot="1" x14ac:dyDescent="0.35">
      <c r="B15" s="17" t="s">
        <v>16</v>
      </c>
      <c r="C15" s="18"/>
      <c r="D15" s="18"/>
      <c r="E15" s="19"/>
      <c r="G15" s="17" t="s">
        <v>22</v>
      </c>
      <c r="H15" s="18"/>
      <c r="I15" s="18"/>
      <c r="J15" s="19"/>
    </row>
    <row r="16" spans="2:10" ht="18.600000000000001" thickBot="1" x14ac:dyDescent="0.35">
      <c r="B16" s="4" t="s">
        <v>0</v>
      </c>
      <c r="C16" s="4" t="s">
        <v>1</v>
      </c>
      <c r="D16" s="4" t="s">
        <v>2</v>
      </c>
      <c r="E16" s="1" t="s">
        <v>17</v>
      </c>
      <c r="G16" s="4" t="s">
        <v>0</v>
      </c>
      <c r="H16" s="4" t="s">
        <v>1</v>
      </c>
      <c r="I16" s="4" t="s">
        <v>2</v>
      </c>
      <c r="J16" s="1" t="s">
        <v>17</v>
      </c>
    </row>
    <row r="17" spans="2:10" x14ac:dyDescent="0.3">
      <c r="B17" s="3" t="s">
        <v>12</v>
      </c>
      <c r="C17" s="3">
        <v>1378.65</v>
      </c>
      <c r="D17" s="3"/>
      <c r="E17" s="3">
        <f>C17*D17</f>
        <v>0</v>
      </c>
      <c r="G17" s="3" t="s">
        <v>12</v>
      </c>
      <c r="H17" s="3">
        <v>66.099999999999994</v>
      </c>
      <c r="I17" s="3"/>
      <c r="J17" s="3">
        <f>H17*I17</f>
        <v>0</v>
      </c>
    </row>
    <row r="18" spans="2:10" ht="15" thickBot="1" x14ac:dyDescent="0.35">
      <c r="B18" s="6" t="s">
        <v>14</v>
      </c>
      <c r="C18" s="6">
        <v>350.85</v>
      </c>
      <c r="D18" s="6">
        <v>108</v>
      </c>
      <c r="E18" s="6">
        <f t="shared" ref="E18" si="2">C18*D18</f>
        <v>37891.800000000003</v>
      </c>
      <c r="G18" s="6" t="s">
        <v>4</v>
      </c>
      <c r="H18" s="6">
        <v>392.5</v>
      </c>
      <c r="I18" s="6">
        <v>150</v>
      </c>
      <c r="J18" s="6">
        <f t="shared" ref="J18" si="3">H18*I18</f>
        <v>58875</v>
      </c>
    </row>
    <row r="19" spans="2:10" ht="15" thickBot="1" x14ac:dyDescent="0.35">
      <c r="B19" s="10" t="s">
        <v>18</v>
      </c>
      <c r="C19" s="10">
        <f>SUM(C17:C18)</f>
        <v>1729.5</v>
      </c>
      <c r="D19" s="5"/>
      <c r="E19" s="10">
        <f>SUM(E17:E18)</f>
        <v>37891.800000000003</v>
      </c>
      <c r="G19" s="10" t="s">
        <v>18</v>
      </c>
      <c r="H19" s="10">
        <f>SUM(H17:H18)</f>
        <v>458.6</v>
      </c>
      <c r="I19" s="5"/>
      <c r="J19" s="10">
        <f>SUM(J17:J18)</f>
        <v>58875</v>
      </c>
    </row>
    <row r="21" spans="2:10" x14ac:dyDescent="0.3">
      <c r="B21" s="2"/>
      <c r="C21" s="2" t="s">
        <v>26</v>
      </c>
      <c r="D21" s="2" t="s">
        <v>2</v>
      </c>
      <c r="G21" s="2"/>
      <c r="H21" s="2" t="s">
        <v>26</v>
      </c>
      <c r="I21" s="2" t="s">
        <v>2</v>
      </c>
    </row>
    <row r="22" spans="2:10" x14ac:dyDescent="0.3">
      <c r="B22" s="2" t="s">
        <v>24</v>
      </c>
      <c r="C22" s="2">
        <f>C13-C19</f>
        <v>1504</v>
      </c>
      <c r="D22" s="2">
        <f>E13-E19</f>
        <v>238493.2</v>
      </c>
      <c r="G22" s="2" t="s">
        <v>24</v>
      </c>
      <c r="H22" s="2">
        <f>H13-H19</f>
        <v>1746.9</v>
      </c>
      <c r="I22" s="2">
        <f>J13-J19</f>
        <v>219391.5</v>
      </c>
    </row>
    <row r="23" spans="2:10" ht="15" thickBot="1" x14ac:dyDescent="0.35">
      <c r="B23" s="2" t="s">
        <v>23</v>
      </c>
      <c r="C23" s="2">
        <v>1426</v>
      </c>
      <c r="D23" s="2"/>
      <c r="G23" s="2" t="s">
        <v>23</v>
      </c>
      <c r="H23" s="2">
        <v>1714.5</v>
      </c>
      <c r="I23" s="2"/>
    </row>
    <row r="24" spans="2:10" x14ac:dyDescent="0.3">
      <c r="B24" s="2" t="s">
        <v>25</v>
      </c>
      <c r="C24" s="2">
        <f>C22-C23</f>
        <v>78</v>
      </c>
      <c r="D24" s="8"/>
      <c r="E24" s="15" t="s">
        <v>27</v>
      </c>
      <c r="F24" s="16"/>
      <c r="G24" s="9" t="s">
        <v>25</v>
      </c>
      <c r="H24" s="2">
        <f>H22-H23</f>
        <v>32.400000000000091</v>
      </c>
      <c r="I24" s="2"/>
    </row>
    <row r="25" spans="2:10" ht="15" thickBot="1" x14ac:dyDescent="0.35">
      <c r="D25" s="12">
        <f>D22/C23</f>
        <v>167.24628330995793</v>
      </c>
      <c r="E25" s="13">
        <f>(D25+I25)/2</f>
        <v>147.60433150624755</v>
      </c>
      <c r="F25" s="14"/>
      <c r="I25" s="12">
        <f>I22/H23</f>
        <v>127.96237970253718</v>
      </c>
    </row>
  </sheetData>
  <mergeCells count="6">
    <mergeCell ref="E25:F25"/>
    <mergeCell ref="E24:F24"/>
    <mergeCell ref="B2:E2"/>
    <mergeCell ref="B15:E15"/>
    <mergeCell ref="G2:J2"/>
    <mergeCell ref="G15:J15"/>
  </mergeCells>
  <pageMargins left="0.7" right="0.7" top="0.75" bottom="0.75" header="0.3" footer="0.3"/>
  <pageSetup scale="7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2026-08-13T07:24:55Z</dcterms:modified>
</cp:coreProperties>
</file>